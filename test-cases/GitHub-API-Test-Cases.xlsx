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Обзор экспорта" sheetId="1" r:id="rId4"/>
    <sheet name="Test Cases" sheetId="2" r:id="rId5"/>
    <sheet name="Test Plan Summary" sheetId="3" r:id="rId6"/>
  </sheets>
</workbook>
</file>

<file path=xl/sharedStrings.xml><?xml version="1.0" encoding="utf-8"?>
<sst xmlns="http://schemas.openxmlformats.org/spreadsheetml/2006/main" uniqueCount="258">
  <si>
    <t>Документ был экспортирован из Numbers. Каждая таблица была конвертирована в рабочий лист Excel. Все другие объекты на листах Numbers были помещены на отдельные рабочие листы. Имейте в виду, что расчеты формул могут отличаться от расчетов в Excel.</t>
  </si>
  <si>
    <t>Название листа Numbers</t>
  </si>
  <si>
    <t>Название таблицы Numbers</t>
  </si>
  <si>
    <t>Название рабочего листа Excel</t>
  </si>
  <si>
    <t>Test Cases</t>
  </si>
  <si>
    <t>Tаблица 1</t>
  </si>
  <si>
    <t>Test Case ID</t>
  </si>
  <si>
    <t>Module / Function</t>
  </si>
  <si>
    <t>Test Title</t>
  </si>
  <si>
    <t>Type</t>
  </si>
  <si>
    <t>Priority</t>
  </si>
  <si>
    <t>Preconditions</t>
  </si>
  <si>
    <t>Endpoint / Test Data</t>
  </si>
  <si>
    <t>Test Steps</t>
  </si>
  <si>
    <t>Expected Result</t>
  </si>
  <si>
    <t>Actual Result</t>
  </si>
  <si>
    <t>Status</t>
  </si>
  <si>
    <t>Notes</t>
  </si>
  <si>
    <t>TC-01</t>
  </si>
  <si>
    <t>1. User Profile</t>
  </si>
  <si>
    <t>Get existing user profile returns 200 with correct data</t>
  </si>
  <si>
    <t>Positive</t>
  </si>
  <si>
    <t>High</t>
  </si>
  <si>
    <t>No authentication required; user 'octocat' exists on GitHub</t>
  </si>
  <si>
    <t>GET https://api.github.com/users/octocat</t>
  </si>
  <si>
    <t>1. Open new GET request
2. Set URL to endpoint
3. Send request</t>
  </si>
  <si>
    <t>Status code: 200 OK. Response body is a JSON object. login = 'octocat'. Required fields are present: id, avatar_url, html_url, type, public_repos, followers.</t>
  </si>
  <si>
    <t>200 OK
login: octocat
id: 583231
public_repos: 8</t>
  </si>
  <si>
    <t>Pass</t>
  </si>
  <si>
    <t>TC-02</t>
  </si>
  <si>
    <t>Username lookup is case-insensitive</t>
  </si>
  <si>
    <t>Medium</t>
  </si>
  <si>
    <t>User 'octocat' exists</t>
  </si>
  <si>
    <t>GET https://api.github.com/users/OctoCat</t>
  </si>
  <si>
    <t>1. Send GET with mixed-case username
2. Compare login field in response to lowercase original</t>
  </si>
  <si>
    <t>Status code: 200 OK. Response body represents the same user account and login = 'octocat' when 'OctoCat' is used in the path.</t>
  </si>
  <si>
    <t>200 OK
login: octocat
id: 583231
Same user returned</t>
  </si>
  <si>
    <t>TC-03</t>
  </si>
  <si>
    <t>Non-existent username returns 404</t>
  </si>
  <si>
    <t>Negative</t>
  </si>
  <si>
    <t>Username is guaranteed not to exist</t>
  </si>
  <si>
    <t>GET https://api.github.com/users/thisuserdoesnotexist999999</t>
  </si>
  <si>
    <t>1. Send GET with random unused username
2. Inspect status code and body</t>
  </si>
  <si>
    <t>Status code: 404 Not Found. Response body contains message = 'Not Found' and a documentation_url field.</t>
  </si>
  <si>
    <t>404 Not Found
message: Not Found
documentation_url returned</t>
  </si>
  <si>
    <t>TC-04</t>
  </si>
  <si>
    <t>Request to /users/ without username does not return a single user profile</t>
  </si>
  <si>
    <t>Edge</t>
  </si>
  <si>
    <t>Low</t>
  </si>
  <si>
    <t>None</t>
  </si>
  <si>
    <t>GET https://api.github.com/users/</t>
  </si>
  <si>
    <t>1. Send GET to /users/ with no username segment
2. Inspect status code and response body
3. Verify that the response is not a single user profile</t>
  </si>
  <si>
    <t>The request does not return a single user profile. The response corresponds to the /users collection endpoint rather than GET /users/{username}; therefore it must not be interpreted as a successful user-profile lookup.</t>
  </si>
  <si>
    <t>TC-05</t>
  </si>
  <si>
    <t>Username with special/invalid characters returns 404</t>
  </si>
  <si>
    <t>GET https://api.github.com/users/octo@cat!</t>
  </si>
  <si>
    <t>1. Send GET with invalid characters in username
2. Inspect status code</t>
  </si>
  <si>
    <t>Status code: 404 Not Found. No user profile is returned for the invalid username value.</t>
  </si>
  <si>
    <t>404 Not Found
message: Not Found
No user profile returned</t>
  </si>
  <si>
    <t>TC-06</t>
  </si>
  <si>
    <t>Response schema contains all required fields with correct types</t>
  </si>
  <si>
    <t>1. Send GET request
2. Validate each field type: id (int), login (string), public_repos (int), followers (int), created_at (date string)</t>
  </si>
  <si>
    <t>Status code: 200 OK. Required fields are present and have expected types: login (string), id (integer), public_repos (integer), followers (integer), created_at (ISO 8601 date-time string).</t>
  </si>
  <si>
    <t>200 OK
Required fields present
Field types are correct</t>
  </si>
  <si>
    <t>TC-07</t>
  </si>
  <si>
    <t>2. Repository Search</t>
  </si>
  <si>
    <t>Search by keyword returns matching repositories</t>
  </si>
  <si>
    <t>GET https://api.github.com/search/repositories?q=react</t>
  </si>
  <si>
    <t>1. Send GET with q=react
2. Inspect items array</t>
  </si>
  <si>
    <t>Status code: 200 OK. total_count &gt; 0 and items is a non-empty array. Returned repositories satisfy the search query according to GitHub repository search behavior.</t>
  </si>
  <si>
    <t>200 OK
total_count: 7254976
items: non-empty
React repositories returned</t>
  </si>
  <si>
    <t>TC-08</t>
  </si>
  <si>
    <t>Search with language qualifier filters results correctly</t>
  </si>
  <si>
    <t>GET https://api.github.com/search/repositories?q=tetris+language:javascript</t>
  </si>
  <si>
    <t>1. Send GET with language qualifier
2. Check 'language' field of returned items</t>
  </si>
  <si>
    <t>Status code: 200 OK. Every returned repository in items has language = 'JavaScript' for the language:javascript qualifier.</t>
  </si>
  <si>
    <t>200 OK
total_count: 22271
language: JavaScript
Filter applied successfully</t>
  </si>
  <si>
    <t>TC-09</t>
  </si>
  <si>
    <t>Sort by stars descending returns correctly ordered results</t>
  </si>
  <si>
    <t>GET https://api.github.com/search/repositories?q=api&amp;sort=stars&amp;order=desc</t>
  </si>
  <si>
    <t>1. Send GET with sort=stars&amp;order=desc
2. Compare stargazers_count of first 5 items</t>
  </si>
  <si>
    <t>Status code: 200 OK. stargazers_count values are ordered from highest to lowest for the returned items.</t>
  </si>
  <si>
    <t>200 OK
sort: stars
order: desc
stargazers_count sorted descending</t>
  </si>
  <si>
    <t>TC-10</t>
  </si>
  <si>
    <t>Empty query string returns validation error</t>
  </si>
  <si>
    <t>GET https://api.github.com/search/repositories?q=</t>
  </si>
  <si>
    <t>1. Send GET with empty q parameter
2. Inspect status code and error message</t>
  </si>
  <si>
    <t>Status code: 422 Unprocessable Entity. Response body indicates that the search query is invalid or missing.</t>
  </si>
  <si>
    <t>422 Unprocessable Entity
message: Validation Failed
field: q
code: missing</t>
  </si>
  <si>
    <t>TC-11</t>
  </si>
  <si>
    <t>Query with no matches returns empty result set</t>
  </si>
  <si>
    <t>GET https://api.github.com/search/repositories?q=zzxcvqwaslkjdh1029384756</t>
  </si>
  <si>
    <t>1. Send GET with nonsense query
2. Inspect total_count and items</t>
  </si>
  <si>
    <t>Status code: 200 OK. total_count = 0 and items is an empty array [].</t>
  </si>
  <si>
    <t>200 OK
total_count: 0
incomplete_results: false
items: []</t>
  </si>
  <si>
    <t>TC-12</t>
  </si>
  <si>
    <t>Pagination returns the requested page size</t>
  </si>
  <si>
    <t>GET https://api.github.com/search/repositories?q=json&amp;per_page=5&amp;page=2</t>
  </si>
  <si>
    <t>1. Send GET with per_page=5&amp;page=2
2. Count items in response</t>
  </si>
  <si>
    <t>Status code: 200 OK. items contains 5 repository objects when at least 10 matching results exist; the response corresponds to page 2.</t>
  </si>
  <si>
    <t>200 OK
total_count: 691971
items returned: 5
page: 2</t>
  </si>
  <si>
    <t>TC-13</t>
  </si>
  <si>
    <t>per_page above documented maximum does not return more than 100 items</t>
  </si>
  <si>
    <t>GET https://api.github.com/search/repositories?q=json&amp;per_page=500</t>
  </si>
  <si>
    <t>1. Send GET with per_page=500
2. Inspect status code
3. If a successful response is returned, count items in the response</t>
  </si>
  <si>
    <t>The request must not produce more than 100 repository items in a single page. If the API accepts the request, the returned page contains no more than 100 items; if it rejects the out-of-range parameter, the response is a client/validation error and no oversized page is returned.</t>
  </si>
  <si>
    <t>200 OK
per_page requested: 500
items returned: 100
Maximum page size enforced</t>
  </si>
  <si>
    <t>TC-14</t>
  </si>
  <si>
    <t>Unauthenticated search rate limit header is present</t>
  </si>
  <si>
    <t>GET https://api.github.com/search/repositories?q=test</t>
  </si>
  <si>
    <t>1. Send GET request
2. Inspect response headers</t>
  </si>
  <si>
    <t>Status code: 200 OK. Response headers include X-RateLimit-Limit and X-RateLimit-Remaining with numeric values.</t>
  </si>
  <si>
    <t>200 OK
X-RateLimit-Limit: 10
X-RateLimit-Remaining: 9
Rate limit headers present</t>
  </si>
  <si>
    <t>TC-15</t>
  </si>
  <si>
    <t>3. User Repositories</t>
  </si>
  <si>
    <t>Get repository list for a user with public repos</t>
  </si>
  <si>
    <t>User 'octocat' has at least 1 public repo</t>
  </si>
  <si>
    <t>GET https://api.github.com/users/octocat/repos</t>
  </si>
  <si>
    <t>1. Send GET request
2. Inspect response array</t>
  </si>
  <si>
    <t>Status code: 200 OK. Response body is a non-empty JSON array. Each returned repository contains name, full_name and owner; owner.login = 'octocat'.</t>
  </si>
  <si>
    <t>200 OK
JSON array: non-empty
Repository objects returned
owner.login: octocat</t>
  </si>
  <si>
    <t>TC-16</t>
  </si>
  <si>
    <t>User with zero public repositories returns empty array</t>
  </si>
  <si>
    <t>A newly created / repo-less test account is identified</t>
  </si>
  <si>
    <t>GET https://api.github.com/users/{username-with-no-repos}/repos</t>
  </si>
  <si>
    <t>1. Send GET for a user known to have 0 public repos
2. Inspect response</t>
  </si>
  <si>
    <t>Status code: 200 OK. Response body is an empty JSON array [].</t>
  </si>
  <si>
    <t>404 Not Found
message: Not Found
Expected empty array [] not returned</t>
  </si>
  <si>
    <t>Blocked</t>
  </si>
  <si>
    <t>Test data does not satisfy the precondition.
User existence must be verified before rerun.</t>
  </si>
  <si>
    <t>TC-17</t>
  </si>
  <si>
    <t>Repos request for non-existent user returns 404</t>
  </si>
  <si>
    <t>Username guaranteed not to exist</t>
  </si>
  <si>
    <t>GET https://api.github.com/users/thisuserdoesnotexist999999/repos</t>
  </si>
  <si>
    <t>1. Send GET with invalid username
2. Inspect status code</t>
  </si>
  <si>
    <t>Status code: 404 Not Found. No repository list is returned for the non-existent user.</t>
  </si>
  <si>
    <t>404 Not Found
message: Not Found
No repositories returned</t>
  </si>
  <si>
    <t>TC-18</t>
  </si>
  <si>
    <t>Sorting repos by 'created' returns chronological order</t>
  </si>
  <si>
    <t>User has multiple repos</t>
  </si>
  <si>
    <t>GET https://api.github.com/users/octocat/repos?sort=created&amp;direction=desc</t>
  </si>
  <si>
    <t>1. Send GET with sort=created&amp;direction=desc
2. Compare created_at timestamps</t>
  </si>
  <si>
    <t>Status code: 200 OK. created_at timestamps are ordered descending from newest to oldest.</t>
  </si>
  <si>
    <t>200 OK
Repositories returned
created_at sorted descending
Newest repository first</t>
  </si>
  <si>
    <t>TC-19</t>
  </si>
  <si>
    <t>Filter type=owner returns repositories owned by the specified user</t>
  </si>
  <si>
    <t>User 'octocat' has public repositories</t>
  </si>
  <si>
    <t>GET https://api.github.com/users/octocat/repos?type=owner</t>
  </si>
  <si>
    <t>1. Send GET with type=owner
2. Inspect owner.login for every returned repository
3. Verify that each repository is owned by 'octocat'</t>
  </si>
  <si>
    <t>Status code: 200 OK. Response body is a JSON array. For every returned repository, owner.login = 'octocat'.</t>
  </si>
  <si>
    <t>200 OK
Repositories returned
owner.login: octocat
Owner filter applied successfully</t>
  </si>
  <si>
    <t>TC-20</t>
  </si>
  <si>
    <t>Pagination limits number of repos returned</t>
  </si>
  <si>
    <t>User has more than 2 public repos</t>
  </si>
  <si>
    <t>GET https://api.github.com/users/octocat/repos?per_page=2</t>
  </si>
  <si>
    <t>1. Send GET with per_page=2
2. Count items returned</t>
  </si>
  <si>
    <t>Status code: 200 OK. Exactly 2 repository objects are returned when the user has at least 2 public repositories.</t>
  </si>
  <si>
    <t>200 OK
items returned: 2
per_page: 2
Pagination limit applied</t>
  </si>
  <si>
    <t>TC-21</t>
  </si>
  <si>
    <t>4. Repository Details</t>
  </si>
  <si>
    <t>Get details of an existing public repository</t>
  </si>
  <si>
    <t>Repo 'octocat/Hello-World' exists and is public</t>
  </si>
  <si>
    <t>GET https://api.github.com/repos/octocat/Hello-World</t>
  </si>
  <si>
    <t>1. Send GET request
2. Inspect response body</t>
  </si>
  <si>
    <t>Status code: 200 OK. Response body contains name = 'Hello-World', full_name = 'octocat/Hello-World', owner, stargazers_count, forks_count and default_branch.</t>
  </si>
  <si>
    <t>200 OK
name: Hello-World
full_name: octocat/Hello-World
owner.login: octocat</t>
  </si>
  <si>
    <t>TC-22</t>
  </si>
  <si>
    <t>Invalid owner returns 404</t>
  </si>
  <si>
    <t>Owner does not exist</t>
  </si>
  <si>
    <t>GET https://api.github.com/repos/thisuserdoesnotexist999999/Hello-World</t>
  </si>
  <si>
    <t>1. Send GET with invalid owner
2. Inspect status code</t>
  </si>
  <si>
    <t>Status code: 404 Not Found. No repository data is returned.</t>
  </si>
  <si>
    <t>404 Not Found
message: Not Found
Repository not returned</t>
  </si>
  <si>
    <t>TC-23</t>
  </si>
  <si>
    <t>Valid owner with invalid/non-existent repo name returns 404</t>
  </si>
  <si>
    <t>Owner 'octocat' exists; repo name does not</t>
  </si>
  <si>
    <t>GET https://api.github.com/repos/octocat/repo-that-does-not-exist-999</t>
  </si>
  <si>
    <t>1. Send GET with valid owner, invalid repo
2. Inspect status code</t>
  </si>
  <si>
    <t>Status code: 404 Not Found. No repository data is returned for the non-existent repository.</t>
  </si>
  <si>
    <t>TC-24</t>
  </si>
  <si>
    <t>Repository name lookup is case-insensitive</t>
  </si>
  <si>
    <t>Repo 'octocat/Hello-World' exists</t>
  </si>
  <si>
    <t>GET https://api.github.com/repos/octocat/hello-world</t>
  </si>
  <si>
    <t>1. Send GET using lowercase repo name
2. Compare 'name' field to canonical value</t>
  </si>
  <si>
    <t>Status code: 200 OK. Response represents octocat/Hello-World and the name field uses the canonical repository name 'Hello-World'.</t>
  </si>
  <si>
    <t>200 OK
name: Hello-World
full_name: octocat/Hello-World
Case-insensitive lookup successful</t>
  </si>
  <si>
    <t>TC-25</t>
  </si>
  <si>
    <t>Private repository is hidden as 404 for unauthenticated request</t>
  </si>
  <si>
    <t>Security</t>
  </si>
  <si>
    <t>A known private repository exists (requires prior knowledge/owner account)</t>
  </si>
  <si>
    <t>GET https://api.github.com/repos/{owner}/{private-repo}</t>
  </si>
  <si>
    <t>1. Send unauthenticated GET to a known private repo
2. Inspect status code</t>
  </si>
  <si>
    <t>Status code: 404 Not Found for an unauthenticated request to a private repository; repository details are not exposed.</t>
  </si>
  <si>
    <t>404 Not Found
message: Not Found
Private repository not exposed</t>
  </si>
  <si>
    <t>TC-26</t>
  </si>
  <si>
    <t>Response includes correct Content-Type header</t>
  </si>
  <si>
    <t>Status code: 200 OK. Content-Type response header indicates JSON media type (application/json; charset=utf-8 or the current equivalent GitHub JSON content type).</t>
  </si>
  <si>
    <t>200 OK
Content-Type: application/json; charset=utf-8
JSON response returned</t>
  </si>
  <si>
    <t>TC-27</t>
  </si>
  <si>
    <t>5. Cross-Cutting / Non-Functional</t>
  </si>
  <si>
    <t>Malformed / unknown endpoint path returns 404</t>
  </si>
  <si>
    <t>GET https://api.github.com/usersss/octocat</t>
  </si>
  <si>
    <t>1. Send GET to a misspelled/unknown path
2. Inspect status code</t>
  </si>
  <si>
    <t>Status code: 404 Not Found. Response body indicates that the requested resource was not found.</t>
  </si>
  <si>
    <t>404 Not Found
message: Not Found
Invalid endpoint rejected</t>
  </si>
  <si>
    <t>TC-28</t>
  </si>
  <si>
    <t>Unsupported POST request to user-profile endpoint is rejected</t>
  </si>
  <si>
    <t>No authentication token provided</t>
  </si>
  <si>
    <t>POST https://api.github.com/users/octocat</t>
  </si>
  <si>
    <t>1. Send POST request to /users/octocat instead of GET
2. Inspect status code and response body
3. Verify that no user data is modified</t>
  </si>
  <si>
    <t>The POST request is rejected because this endpoint is used to retrieve a user profile, not to create or modify one. No user data is modified, and the response is not a successful 2xx user-profile response.</t>
  </si>
  <si>
    <t>404 Not Found
message: Not Found
POST request rejected
No user profile returned</t>
  </si>
  <si>
    <t>TC-29</t>
  </si>
  <si>
    <t>Response time meets portfolio acceptance threshold (&lt; 2000 ms)</t>
  </si>
  <si>
    <t>Performance</t>
  </si>
  <si>
    <t>Stable network connection; portfolio acceptance threshold is defined as &lt; 2000 ms</t>
  </si>
  <si>
    <t>1. Send GET request
2. Record response time in Postman
3. Compare the measured time with the portfolio threshold of 2000 ms</t>
  </si>
  <si>
    <t>Status code: 200 OK. Under the stated test conditions, measured response time is &lt; 2000 ms. Note: 2000 ms is a portfolio test criterion, not an official GitHub SLA.</t>
  </si>
  <si>
    <t>200 OK
Response time: 595 ms
Threshold: &lt; 2000 ms</t>
  </si>
  <si>
    <t>TC-30</t>
  </si>
  <si>
    <t>GET /rate_limit reports current rate-limit information without consuming primary quota</t>
  </si>
  <si>
    <t>No authentication required</t>
  </si>
  <si>
    <t>GET https://api.github.com/rate_limit</t>
  </si>
  <si>
    <t>1. Send GET /rate_limit
2. Record the primary rate-limit remaining value
3. Send GET /rate_limit again
4. Compare the reported primary remaining value</t>
  </si>
  <si>
    <t>Status code: 200 OK. Response contains rate-limit information. Repeating GET /rate_limit does not itself consume the primary rate-limit quota, so the primary remaining value is not expected to decrease solely because of these /rate_limit requests.</t>
  </si>
  <si>
    <t>200 OK
1st remaining: 39
2nd remaining: 39
Primary quota unchanged</t>
  </si>
  <si>
    <t>TC-31</t>
  </si>
  <si>
    <t>Request after unauthenticated primary rate limit is exhausted is rejected</t>
  </si>
  <si>
    <t>Unauthenticated primary rate limit has been exhausted in the current rate-limit window</t>
  </si>
  <si>
    <t>1. Exhaust the unauthenticated primary rate limit using ordinary API requests
2. Send one additional request
3. Inspect status code, message, and rate-limit headers</t>
  </si>
  <si>
    <t>The additional request is rejected after the primary unauthenticated rate limit is exceeded. The response indicates a rate-limit error and does not return the normal successful user-profile response.</t>
  </si>
  <si>
    <t>403 Forbidden
X-RateLimit-Limit: 60
X-RateLimit-Used: 60
X-RateLimit-Remaining: 0
Primary rate limit exceeded</t>
  </si>
  <si>
    <t>Test Plan Summary</t>
  </si>
  <si>
    <t>Test Plan — GitHub REST API (api.github.com)</t>
  </si>
  <si>
    <t>Project</t>
  </si>
  <si>
    <t>GitHub Public REST API — Portfolio QA Project</t>
  </si>
  <si>
    <t>Base URL</t>
  </si>
  <si>
    <t>https://api.github.com</t>
  </si>
  <si>
    <t>API Version</t>
  </si>
  <si>
    <t>GitHub REST API (public endpoints used in this portfolio project)</t>
  </si>
  <si>
    <t>Authentication</t>
  </si>
  <si>
    <t>Unauthenticated requests for the selected public endpoints; rate limits apply</t>
  </si>
  <si>
    <t>Tools Used</t>
  </si>
  <si>
    <t>Postman for API requests, response inspection, and test execution</t>
  </si>
  <si>
    <t>Scope</t>
  </si>
  <si>
    <t>User Profile, Repository Search, User Repositories, Repository Details, Cross-cutting (errors/performance/limits)</t>
  </si>
  <si>
    <t>Out of Scope</t>
  </si>
  <si>
    <t>Authenticated endpoints (create/update/delete), GraphQL API, Webhooks</t>
  </si>
  <si>
    <t>Test Design Technique</t>
  </si>
  <si>
    <t>Equivalence Partitioning, Boundary Value Analysis, Error Guessing</t>
  </si>
  <si>
    <t>Author</t>
  </si>
  <si>
    <t>QA Portfolio Project</t>
  </si>
  <si>
    <t>Execution Summary</t>
  </si>
  <si>
    <t>Total Test Cases</t>
  </si>
  <si>
    <t>Passed</t>
  </si>
  <si>
    <t>Failed</t>
  </si>
  <si>
    <t>Not Executed</t>
  </si>
  <si>
    <t>Coverage by Module</t>
  </si>
</sst>
</file>

<file path=xl/styles.xml><?xml version="1.0" encoding="utf-8"?>
<styleSheet xmlns="http://schemas.openxmlformats.org/spreadsheetml/2006/main">
  <numFmts count="1">
    <numFmt numFmtId="0" formatCode="General"/>
  </numFmts>
  <fonts count="18">
    <font>
      <sz val="11"/>
      <color indexed="8"/>
      <name val="Calibri"/>
    </font>
    <font>
      <sz val="12"/>
      <color indexed="8"/>
      <name val="Calibri"/>
    </font>
    <font>
      <sz val="14"/>
      <color indexed="8"/>
      <name val="Calibri"/>
    </font>
    <font>
      <sz val="12"/>
      <color indexed="8"/>
      <name val="Helvetica Neue"/>
    </font>
    <font>
      <u val="single"/>
      <sz val="12"/>
      <color indexed="11"/>
      <name val="Calibri"/>
    </font>
    <font>
      <sz val="15"/>
      <color indexed="8"/>
      <name val="Calibri"/>
    </font>
    <font>
      <b val="1"/>
      <sz val="11"/>
      <color indexed="12"/>
      <name val="Arial"/>
    </font>
    <font>
      <sz val="10"/>
      <color indexed="8"/>
      <name val="Arial"/>
    </font>
    <font>
      <b val="1"/>
      <sz val="11"/>
      <color indexed="16"/>
      <name val="Calibri"/>
    </font>
    <font>
      <b val="1"/>
      <sz val="11"/>
      <color indexed="18"/>
      <name val="Calibri"/>
    </font>
    <font>
      <b val="1"/>
      <sz val="11"/>
      <color indexed="20"/>
      <name val="Calibri"/>
    </font>
    <font>
      <b val="1"/>
      <sz val="11"/>
      <color indexed="13"/>
      <name val="Calibri"/>
    </font>
    <font>
      <b val="1"/>
      <sz val="11"/>
      <color indexed="24"/>
      <name val="Calibri"/>
    </font>
    <font>
      <b val="1"/>
      <sz val="11"/>
      <color indexed="26"/>
      <name val="Calibri"/>
    </font>
    <font>
      <b val="1"/>
      <sz val="14"/>
      <color indexed="13"/>
      <name val="Arial"/>
    </font>
    <font>
      <b val="1"/>
      <sz val="11"/>
      <color indexed="8"/>
      <name val="Arial"/>
    </font>
    <font>
      <sz val="11"/>
      <color indexed="8"/>
      <name val="Arial"/>
    </font>
    <font>
      <b val="1"/>
      <sz val="12"/>
      <color indexed="13"/>
      <name val="Arial"/>
    </font>
  </fonts>
  <fills count="13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0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7"/>
        <bgColor auto="1"/>
      </patternFill>
    </fill>
    <fill>
      <patternFill patternType="solid">
        <fgColor indexed="19"/>
        <bgColor auto="1"/>
      </patternFill>
    </fill>
    <fill>
      <patternFill patternType="solid">
        <fgColor indexed="22"/>
        <bgColor auto="1"/>
      </patternFill>
    </fill>
    <fill>
      <patternFill patternType="solid">
        <fgColor indexed="23"/>
        <bgColor auto="1"/>
      </patternFill>
    </fill>
    <fill>
      <patternFill patternType="solid">
        <fgColor indexed="25"/>
        <bgColor auto="1"/>
      </patternFill>
    </fill>
    <fill>
      <patternFill patternType="solid">
        <fgColor indexed="27"/>
        <bgColor auto="1"/>
      </patternFill>
    </fill>
  </fills>
  <borders count="5">
    <border>
      <left/>
      <right/>
      <top/>
      <bottom/>
      <diagonal/>
    </border>
    <border>
      <left style="thin">
        <color indexed="14"/>
      </left>
      <right style="thin">
        <color indexed="14"/>
      </right>
      <top style="thin">
        <color indexed="14"/>
      </top>
      <bottom style="thin">
        <color indexed="14"/>
      </bottom>
      <diagonal/>
    </border>
    <border>
      <left style="thin">
        <color indexed="28"/>
      </left>
      <right style="thin">
        <color indexed="28"/>
      </right>
      <top style="thin">
        <color indexed="28"/>
      </top>
      <bottom style="thin">
        <color indexed="28"/>
      </bottom>
      <diagonal/>
    </border>
    <border>
      <left style="thin">
        <color indexed="28"/>
      </left>
      <right style="thin">
        <color indexed="28"/>
      </right>
      <top style="thin">
        <color indexed="28"/>
      </top>
      <bottom style="thin">
        <color indexed="14"/>
      </bottom>
      <diagonal/>
    </border>
    <border>
      <left style="thin">
        <color indexed="14"/>
      </left>
      <right style="thin">
        <color indexed="28"/>
      </right>
      <top style="thin">
        <color indexed="28"/>
      </top>
      <bottom style="thin">
        <color indexed="28"/>
      </bottom>
      <diagonal/>
    </border>
  </borders>
  <cellStyleXfs count="1">
    <xf numFmtId="0" fontId="0" applyNumberFormat="0" applyFont="1" applyFill="0" applyBorder="0" applyAlignment="1" applyProtection="0">
      <alignment vertical="bottom"/>
    </xf>
  </cellStyleXfs>
  <cellXfs count="30">
    <xf numFmtId="0" fontId="0" applyNumberFormat="0" applyFont="1" applyFill="0" applyBorder="0" applyAlignment="1" applyProtection="0">
      <alignment vertical="bottom"/>
    </xf>
    <xf numFmtId="0" fontId="1" applyNumberFormat="0" applyFont="1" applyFill="0" applyBorder="0" applyAlignment="1" applyProtection="0">
      <alignment horizontal="left" vertical="bottom" wrapText="1"/>
    </xf>
    <xf numFmtId="0" fontId="2" applyNumberFormat="0" applyFont="1" applyFill="0" applyBorder="0" applyAlignment="1" applyProtection="0">
      <alignment horizontal="left" vertical="bottom"/>
    </xf>
    <xf numFmtId="0" fontId="1" fillId="2" applyNumberFormat="0" applyFont="1" applyFill="1" applyBorder="0" applyAlignment="1" applyProtection="0">
      <alignment horizontal="left" vertical="bottom"/>
    </xf>
    <xf numFmtId="0" fontId="1" fillId="3" applyNumberFormat="0" applyFont="1" applyFill="1" applyBorder="0" applyAlignment="1" applyProtection="0">
      <alignment horizontal="left" vertical="bottom"/>
    </xf>
    <xf numFmtId="0" fontId="4" fillId="3" applyNumberFormat="0" applyFont="1" applyFill="1" applyBorder="0" applyAlignment="1" applyProtection="0">
      <alignment horizontal="left" vertical="bottom"/>
    </xf>
    <xf numFmtId="0" fontId="0" applyNumberFormat="1" applyFont="1" applyFill="0" applyBorder="0" applyAlignment="1" applyProtection="0">
      <alignment vertical="bottom"/>
    </xf>
    <xf numFmtId="49" fontId="6" fillId="4" borderId="1" applyNumberFormat="1" applyFont="1" applyFill="1" applyBorder="1" applyAlignment="1" applyProtection="0">
      <alignment horizontal="center" vertical="top" wrapText="1"/>
    </xf>
    <xf numFmtId="49" fontId="7" fillId="5" borderId="1" applyNumberFormat="1" applyFont="1" applyFill="1" applyBorder="1" applyAlignment="1" applyProtection="0">
      <alignment horizontal="left" vertical="top" wrapText="1"/>
    </xf>
    <xf numFmtId="49" fontId="7" fillId="6" borderId="1" applyNumberFormat="1" applyFont="1" applyFill="1" applyBorder="1" applyAlignment="1" applyProtection="0">
      <alignment horizontal="left" vertical="top" wrapText="1"/>
    </xf>
    <xf numFmtId="49" fontId="8" fillId="7" borderId="1" applyNumberFormat="1" applyFont="1" applyFill="1" applyBorder="1" applyAlignment="1" applyProtection="0">
      <alignment horizontal="center" vertical="center"/>
    </xf>
    <xf numFmtId="49" fontId="9" fillId="8" borderId="1" applyNumberFormat="1" applyFont="1" applyFill="1" applyBorder="1" applyAlignment="1" applyProtection="0">
      <alignment horizontal="center" vertical="center"/>
    </xf>
    <xf numFmtId="49" fontId="7" fillId="5" borderId="1" applyNumberFormat="1" applyFont="1" applyFill="1" applyBorder="1" applyAlignment="1" applyProtection="0">
      <alignment horizontal="center" vertical="center"/>
    </xf>
    <xf numFmtId="0" fontId="7" fillId="5" borderId="1" applyNumberFormat="0" applyFont="1" applyFill="1" applyBorder="1" applyAlignment="1" applyProtection="0">
      <alignment horizontal="left" vertical="top" wrapText="1"/>
    </xf>
    <xf numFmtId="49" fontId="10" fillId="9" borderId="1" applyNumberFormat="1" applyFont="1" applyFill="1" applyBorder="1" applyAlignment="1" applyProtection="0">
      <alignment horizontal="center" vertical="center"/>
    </xf>
    <xf numFmtId="49" fontId="11" fillId="10" borderId="1" applyNumberFormat="1" applyFont="1" applyFill="1" applyBorder="1" applyAlignment="1" applyProtection="0">
      <alignment horizontal="center" vertical="center"/>
    </xf>
    <xf numFmtId="49" fontId="12" fillId="11" borderId="1" applyNumberFormat="1" applyFont="1" applyFill="1" applyBorder="1" applyAlignment="1" applyProtection="0">
      <alignment horizontal="center" vertical="center"/>
    </xf>
    <xf numFmtId="49" fontId="13" fillId="12" borderId="1" applyNumberFormat="1" applyFont="1" applyFill="1" applyBorder="1" applyAlignment="1" applyProtection="0">
      <alignment horizontal="center" vertical="center"/>
    </xf>
    <xf numFmtId="0" fontId="0" applyNumberFormat="1" applyFont="1" applyFill="0" applyBorder="0" applyAlignment="1" applyProtection="0">
      <alignment vertical="bottom"/>
    </xf>
    <xf numFmtId="49" fontId="14" fillId="5" borderId="2" applyNumberFormat="1" applyFont="1" applyFill="1" applyBorder="1" applyAlignment="1" applyProtection="0">
      <alignment vertical="bottom"/>
    </xf>
    <xf numFmtId="0" fontId="0" fillId="5" borderId="2" applyNumberFormat="0" applyFont="1" applyFill="1" applyBorder="1" applyAlignment="1" applyProtection="0">
      <alignment vertical="bottom"/>
    </xf>
    <xf numFmtId="0" fontId="0" borderId="2" applyNumberFormat="0" applyFont="1" applyFill="0" applyBorder="1" applyAlignment="1" applyProtection="0">
      <alignment vertical="bottom"/>
    </xf>
    <xf numFmtId="0" fontId="0" fillId="5" borderId="3" applyNumberFormat="0" applyFont="1" applyFill="1" applyBorder="1" applyAlignment="1" applyProtection="0">
      <alignment vertical="bottom"/>
    </xf>
    <xf numFmtId="49" fontId="15" fillId="5" borderId="1" applyNumberFormat="1" applyFont="1" applyFill="1" applyBorder="1" applyAlignment="1" applyProtection="0">
      <alignment vertical="bottom"/>
    </xf>
    <xf numFmtId="49" fontId="16" fillId="5" borderId="1" applyNumberFormat="1" applyFont="1" applyFill="1" applyBorder="1" applyAlignment="1" applyProtection="0">
      <alignment vertical="top" wrapText="1"/>
    </xf>
    <xf numFmtId="0" fontId="0" borderId="4" applyNumberFormat="0" applyFont="1" applyFill="0" applyBorder="1" applyAlignment="1" applyProtection="0">
      <alignment vertical="bottom"/>
    </xf>
    <xf numFmtId="0" fontId="0" fillId="5" borderId="1" applyNumberFormat="0" applyFont="1" applyFill="1" applyBorder="1" applyAlignment="1" applyProtection="0">
      <alignment vertical="bottom"/>
    </xf>
    <xf numFmtId="49" fontId="17" fillId="5" borderId="1" applyNumberFormat="1" applyFont="1" applyFill="1" applyBorder="1" applyAlignment="1" applyProtection="0">
      <alignment vertical="bottom"/>
    </xf>
    <xf numFmtId="0" fontId="16" fillId="5" borderId="1" applyNumberFormat="1" applyFont="1" applyFill="1" applyBorder="1" applyAlignment="1" applyProtection="0">
      <alignment vertical="bottom"/>
    </xf>
    <xf numFmtId="49" fontId="16" fillId="5" borderId="1" applyNumberFormat="1" applyFont="1" applyFill="1" applyBorder="1" applyAlignment="1" applyProtection="0">
      <alignment vertical="bottom"/>
    </xf>
  </cellXfs>
  <cellStyles count="1">
    <cellStyle name="Normal" xfId="0" builtinId="0"/>
  </cellStyles>
  <dxfs count="4">
    <dxf>
      <font>
        <b val="1"/>
        <color rgb="ff006100"/>
      </font>
    </dxf>
    <dxf>
      <font>
        <b val="1"/>
        <color rgb="ff9c0006"/>
      </font>
    </dxf>
    <dxf>
      <font>
        <b val="1"/>
        <color rgb="ff9c6500"/>
      </font>
    </dxf>
    <dxf>
      <font>
        <color rgb="ff595959"/>
      </font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5e88b1"/>
      <rgbColor rgb="ffeef3f4"/>
      <rgbColor rgb="ff0000ff"/>
      <rgbColor rgb="ffffffff"/>
      <rgbColor rgb="ff1f4e78"/>
      <rgbColor rgb="ffb7b7b7"/>
      <rgbColor rgb="ffd9e1f2"/>
      <rgbColor rgb="ff006100"/>
      <rgbColor rgb="ffc6efce"/>
      <rgbColor rgb="ff9c0006"/>
      <rgbColor rgb="ffffc7ce"/>
      <rgbColor rgb="ff9c6500"/>
      <rgbColor rgb="ff595959"/>
      <rgbColor rgb="ffffeb9c"/>
      <rgbColor rgb="ffd9eaf7"/>
      <rgbColor rgb="ff5f497a"/>
      <rgbColor rgb="ffe4dfec"/>
      <rgbColor rgb="ff843c0c"/>
      <rgbColor rgb="fffce4d6"/>
      <rgbColor rgb="ffaaaaa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 Them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 Them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sheetViews>
    <sheetView workbookViewId="0" showGridLines="0" defaultGridColor="1"/>
  </sheetViews>
  <sheetFormatPr defaultColWidth="10" defaultRowHeight="13" customHeight="1" outlineLevelRow="0" outlineLevelCol="0"/>
  <cols>
    <col min="1" max="1" width="2" customWidth="1"/>
    <col min="2" max="4" width="30.5547" customWidth="1"/>
  </cols>
  <sheetData>
    <row r="3" ht="50" customHeight="1">
      <c r="B3" t="s" s="1">
        <v>0</v>
      </c>
      <c r="C3"/>
      <c r="D3"/>
    </row>
    <row r="7">
      <c r="B7" t="s" s="2">
        <v>1</v>
      </c>
      <c r="C7" t="s" s="2">
        <v>2</v>
      </c>
      <c r="D7" t="s" s="2">
        <v>3</v>
      </c>
    </row>
    <row r="9">
      <c r="B9" t="s" s="3">
        <v>4</v>
      </c>
      <c r="C9" s="3"/>
      <c r="D9" s="3"/>
    </row>
    <row r="10">
      <c r="B10" s="4"/>
      <c r="C10" t="s" s="4">
        <v>5</v>
      </c>
      <c r="D10" t="s" s="5">
        <v>4</v>
      </c>
    </row>
    <row r="11">
      <c r="B11" t="s" s="3">
        <v>232</v>
      </c>
      <c r="C11" s="3"/>
      <c r="D11" s="3"/>
    </row>
    <row r="12">
      <c r="B12" s="4"/>
      <c r="C12" t="s" s="4">
        <v>5</v>
      </c>
      <c r="D12" t="s" s="5">
        <v>232</v>
      </c>
    </row>
  </sheetData>
  <mergeCells count="1">
    <mergeCell ref="B3:D3"/>
  </mergeCells>
  <hyperlinks>
    <hyperlink ref="D10" location="'Test Cases'!R1C1" tooltip="" display="Test Cases"/>
    <hyperlink ref="D12" location="'Test Plan Summary'!R1C1" tooltip="" display="Test Plan Summary"/>
  </hyperlinks>
</worksheet>
</file>

<file path=xl/worksheets/sheet2.xml><?xml version="1.0" encoding="utf-8"?>
<worksheet xmlns:r="http://schemas.openxmlformats.org/officeDocument/2006/relationships" xmlns="http://schemas.openxmlformats.org/spreadsheetml/2006/main">
  <dimension ref="A1:L32"/>
  <sheetViews>
    <sheetView workbookViewId="0" showGridLines="0" defaultGridColor="1"/>
  </sheetViews>
  <sheetFormatPr defaultColWidth="8.66667" defaultRowHeight="15" customHeight="1" outlineLevelRow="0" outlineLevelCol="0"/>
  <cols>
    <col min="1" max="1" width="11" style="6" customWidth="1"/>
    <col min="2" max="2" width="22" style="6" customWidth="1"/>
    <col min="3" max="3" width="34" style="6" customWidth="1"/>
    <col min="4" max="4" width="12" style="6" customWidth="1"/>
    <col min="5" max="5" width="10" style="6" customWidth="1"/>
    <col min="6" max="6" width="30" style="6" customWidth="1"/>
    <col min="7" max="8" width="34" style="6" customWidth="1"/>
    <col min="9" max="9" width="38" style="6" customWidth="1"/>
    <col min="10" max="10" width="21.5859" style="6" customWidth="1"/>
    <col min="11" max="11" width="12" style="6" customWidth="1"/>
    <col min="12" max="12" width="19" style="6" customWidth="1"/>
    <col min="13" max="16384" width="8.67188" style="6" customWidth="1"/>
  </cols>
  <sheetData>
    <row r="1" ht="30" customHeight="1">
      <c r="A1" t="s" s="7">
        <v>6</v>
      </c>
      <c r="B1" t="s" s="7">
        <v>7</v>
      </c>
      <c r="C1" t="s" s="7">
        <v>8</v>
      </c>
      <c r="D1" t="s" s="7">
        <v>9</v>
      </c>
      <c r="E1" t="s" s="7">
        <v>10</v>
      </c>
      <c r="F1" t="s" s="7">
        <v>11</v>
      </c>
      <c r="G1" t="s" s="7">
        <v>12</v>
      </c>
      <c r="H1" t="s" s="7">
        <v>13</v>
      </c>
      <c r="I1" t="s" s="7">
        <v>14</v>
      </c>
      <c r="J1" t="s" s="7">
        <v>15</v>
      </c>
      <c r="K1" t="s" s="7">
        <v>16</v>
      </c>
      <c r="L1" t="s" s="7">
        <v>17</v>
      </c>
    </row>
    <row r="2" ht="60" customHeight="1">
      <c r="A2" t="s" s="8">
        <v>18</v>
      </c>
      <c r="B2" t="s" s="9">
        <v>19</v>
      </c>
      <c r="C2" t="s" s="8">
        <v>20</v>
      </c>
      <c r="D2" t="s" s="10">
        <v>21</v>
      </c>
      <c r="E2" t="s" s="11">
        <v>22</v>
      </c>
      <c r="F2" t="s" s="8">
        <v>23</v>
      </c>
      <c r="G2" t="s" s="8">
        <v>24</v>
      </c>
      <c r="H2" t="s" s="8">
        <v>25</v>
      </c>
      <c r="I2" t="s" s="8">
        <v>26</v>
      </c>
      <c r="J2" t="s" s="8">
        <v>27</v>
      </c>
      <c r="K2" t="s" s="12">
        <v>28</v>
      </c>
      <c r="L2" s="13"/>
    </row>
    <row r="3" ht="60" customHeight="1">
      <c r="A3" t="s" s="8">
        <v>29</v>
      </c>
      <c r="B3" t="s" s="9">
        <v>19</v>
      </c>
      <c r="C3" t="s" s="8">
        <v>30</v>
      </c>
      <c r="D3" t="s" s="10">
        <v>21</v>
      </c>
      <c r="E3" t="s" s="14">
        <v>31</v>
      </c>
      <c r="F3" t="s" s="8">
        <v>32</v>
      </c>
      <c r="G3" t="s" s="8">
        <v>33</v>
      </c>
      <c r="H3" t="s" s="8">
        <v>34</v>
      </c>
      <c r="I3" t="s" s="8">
        <v>35</v>
      </c>
      <c r="J3" t="s" s="8">
        <v>36</v>
      </c>
      <c r="K3" t="s" s="12">
        <v>28</v>
      </c>
      <c r="L3" s="13"/>
    </row>
    <row r="4" ht="60" customHeight="1">
      <c r="A4" t="s" s="8">
        <v>37</v>
      </c>
      <c r="B4" t="s" s="9">
        <v>19</v>
      </c>
      <c r="C4" t="s" s="8">
        <v>38</v>
      </c>
      <c r="D4" t="s" s="11">
        <v>39</v>
      </c>
      <c r="E4" t="s" s="11">
        <v>22</v>
      </c>
      <c r="F4" t="s" s="8">
        <v>40</v>
      </c>
      <c r="G4" t="s" s="8">
        <v>41</v>
      </c>
      <c r="H4" t="s" s="8">
        <v>42</v>
      </c>
      <c r="I4" t="s" s="8">
        <v>43</v>
      </c>
      <c r="J4" t="s" s="8">
        <v>44</v>
      </c>
      <c r="K4" t="s" s="12">
        <v>28</v>
      </c>
      <c r="L4" s="13"/>
    </row>
    <row r="5" ht="60" customHeight="1">
      <c r="A5" t="s" s="8">
        <v>45</v>
      </c>
      <c r="B5" t="s" s="9">
        <v>19</v>
      </c>
      <c r="C5" t="s" s="8">
        <v>46</v>
      </c>
      <c r="D5" t="s" s="15">
        <v>47</v>
      </c>
      <c r="E5" t="s" s="10">
        <v>48</v>
      </c>
      <c r="F5" t="s" s="8">
        <v>49</v>
      </c>
      <c r="G5" t="s" s="8">
        <v>50</v>
      </c>
      <c r="H5" t="s" s="8">
        <v>51</v>
      </c>
      <c r="I5" t="s" s="8">
        <v>52</v>
      </c>
      <c r="J5" t="s" s="8">
        <v>44</v>
      </c>
      <c r="K5" t="s" s="12">
        <v>28</v>
      </c>
      <c r="L5" s="13"/>
    </row>
    <row r="6" ht="60" customHeight="1">
      <c r="A6" t="s" s="8">
        <v>53</v>
      </c>
      <c r="B6" t="s" s="9">
        <v>19</v>
      </c>
      <c r="C6" t="s" s="8">
        <v>54</v>
      </c>
      <c r="D6" t="s" s="11">
        <v>39</v>
      </c>
      <c r="E6" t="s" s="14">
        <v>31</v>
      </c>
      <c r="F6" t="s" s="8">
        <v>49</v>
      </c>
      <c r="G6" t="s" s="8">
        <v>55</v>
      </c>
      <c r="H6" t="s" s="8">
        <v>56</v>
      </c>
      <c r="I6" t="s" s="8">
        <v>57</v>
      </c>
      <c r="J6" t="s" s="8">
        <v>58</v>
      </c>
      <c r="K6" t="s" s="12">
        <v>28</v>
      </c>
      <c r="L6" s="13"/>
    </row>
    <row r="7" ht="60" customHeight="1">
      <c r="A7" t="s" s="8">
        <v>59</v>
      </c>
      <c r="B7" t="s" s="9">
        <v>19</v>
      </c>
      <c r="C7" t="s" s="8">
        <v>60</v>
      </c>
      <c r="D7" t="s" s="10">
        <v>21</v>
      </c>
      <c r="E7" t="s" s="11">
        <v>22</v>
      </c>
      <c r="F7" t="s" s="8">
        <v>32</v>
      </c>
      <c r="G7" t="s" s="8">
        <v>24</v>
      </c>
      <c r="H7" t="s" s="8">
        <v>61</v>
      </c>
      <c r="I7" t="s" s="8">
        <v>62</v>
      </c>
      <c r="J7" t="s" s="8">
        <v>63</v>
      </c>
      <c r="K7" t="s" s="12">
        <v>28</v>
      </c>
      <c r="L7" s="13"/>
    </row>
    <row r="8" ht="60" customHeight="1">
      <c r="A8" t="s" s="8">
        <v>64</v>
      </c>
      <c r="B8" t="s" s="9">
        <v>65</v>
      </c>
      <c r="C8" t="s" s="8">
        <v>66</v>
      </c>
      <c r="D8" t="s" s="10">
        <v>21</v>
      </c>
      <c r="E8" t="s" s="11">
        <v>22</v>
      </c>
      <c r="F8" t="s" s="8">
        <v>49</v>
      </c>
      <c r="G8" t="s" s="8">
        <v>67</v>
      </c>
      <c r="H8" t="s" s="8">
        <v>68</v>
      </c>
      <c r="I8" t="s" s="8">
        <v>69</v>
      </c>
      <c r="J8" t="s" s="8">
        <v>70</v>
      </c>
      <c r="K8" t="s" s="12">
        <v>28</v>
      </c>
      <c r="L8" s="13"/>
    </row>
    <row r="9" ht="60" customHeight="1">
      <c r="A9" t="s" s="8">
        <v>71</v>
      </c>
      <c r="B9" t="s" s="9">
        <v>65</v>
      </c>
      <c r="C9" t="s" s="8">
        <v>72</v>
      </c>
      <c r="D9" t="s" s="10">
        <v>21</v>
      </c>
      <c r="E9" t="s" s="11">
        <v>22</v>
      </c>
      <c r="F9" t="s" s="8">
        <v>49</v>
      </c>
      <c r="G9" t="s" s="8">
        <v>73</v>
      </c>
      <c r="H9" t="s" s="8">
        <v>74</v>
      </c>
      <c r="I9" t="s" s="8">
        <v>75</v>
      </c>
      <c r="J9" t="s" s="8">
        <v>76</v>
      </c>
      <c r="K9" t="s" s="12">
        <v>28</v>
      </c>
      <c r="L9" s="13"/>
    </row>
    <row r="10" ht="60" customHeight="1">
      <c r="A10" t="s" s="8">
        <v>77</v>
      </c>
      <c r="B10" t="s" s="9">
        <v>65</v>
      </c>
      <c r="C10" t="s" s="8">
        <v>78</v>
      </c>
      <c r="D10" t="s" s="10">
        <v>21</v>
      </c>
      <c r="E10" t="s" s="14">
        <v>31</v>
      </c>
      <c r="F10" t="s" s="8">
        <v>49</v>
      </c>
      <c r="G10" t="s" s="8">
        <v>79</v>
      </c>
      <c r="H10" t="s" s="8">
        <v>80</v>
      </c>
      <c r="I10" t="s" s="8">
        <v>81</v>
      </c>
      <c r="J10" t="s" s="8">
        <v>82</v>
      </c>
      <c r="K10" t="s" s="12">
        <v>28</v>
      </c>
      <c r="L10" s="13"/>
    </row>
    <row r="11" ht="60" customHeight="1">
      <c r="A11" t="s" s="8">
        <v>83</v>
      </c>
      <c r="B11" t="s" s="9">
        <v>65</v>
      </c>
      <c r="C11" t="s" s="8">
        <v>84</v>
      </c>
      <c r="D11" t="s" s="11">
        <v>39</v>
      </c>
      <c r="E11" t="s" s="11">
        <v>22</v>
      </c>
      <c r="F11" t="s" s="8">
        <v>49</v>
      </c>
      <c r="G11" t="s" s="8">
        <v>85</v>
      </c>
      <c r="H11" t="s" s="8">
        <v>86</v>
      </c>
      <c r="I11" t="s" s="8">
        <v>87</v>
      </c>
      <c r="J11" t="s" s="8">
        <v>88</v>
      </c>
      <c r="K11" t="s" s="12">
        <v>28</v>
      </c>
      <c r="L11" s="13"/>
    </row>
    <row r="12" ht="60" customHeight="1">
      <c r="A12" t="s" s="8">
        <v>89</v>
      </c>
      <c r="B12" t="s" s="9">
        <v>65</v>
      </c>
      <c r="C12" t="s" s="8">
        <v>90</v>
      </c>
      <c r="D12" t="s" s="15">
        <v>47</v>
      </c>
      <c r="E12" t="s" s="14">
        <v>31</v>
      </c>
      <c r="F12" t="s" s="8">
        <v>49</v>
      </c>
      <c r="G12" t="s" s="8">
        <v>91</v>
      </c>
      <c r="H12" t="s" s="8">
        <v>92</v>
      </c>
      <c r="I12" t="s" s="8">
        <v>93</v>
      </c>
      <c r="J12" t="s" s="8">
        <v>94</v>
      </c>
      <c r="K12" t="s" s="12">
        <v>28</v>
      </c>
      <c r="L12" s="13"/>
    </row>
    <row r="13" ht="60" customHeight="1">
      <c r="A13" t="s" s="8">
        <v>95</v>
      </c>
      <c r="B13" t="s" s="9">
        <v>65</v>
      </c>
      <c r="C13" t="s" s="8">
        <v>96</v>
      </c>
      <c r="D13" t="s" s="10">
        <v>21</v>
      </c>
      <c r="E13" t="s" s="14">
        <v>31</v>
      </c>
      <c r="F13" t="s" s="8">
        <v>49</v>
      </c>
      <c r="G13" t="s" s="8">
        <v>97</v>
      </c>
      <c r="H13" t="s" s="8">
        <v>98</v>
      </c>
      <c r="I13" t="s" s="8">
        <v>99</v>
      </c>
      <c r="J13" t="s" s="8">
        <v>100</v>
      </c>
      <c r="K13" t="s" s="12">
        <v>28</v>
      </c>
      <c r="L13" s="13"/>
    </row>
    <row r="14" ht="68.65" customHeight="1">
      <c r="A14" t="s" s="8">
        <v>101</v>
      </c>
      <c r="B14" t="s" s="9">
        <v>65</v>
      </c>
      <c r="C14" t="s" s="8">
        <v>102</v>
      </c>
      <c r="D14" t="s" s="15">
        <v>47</v>
      </c>
      <c r="E14" t="s" s="14">
        <v>31</v>
      </c>
      <c r="F14" t="s" s="8">
        <v>49</v>
      </c>
      <c r="G14" t="s" s="8">
        <v>103</v>
      </c>
      <c r="H14" t="s" s="8">
        <v>104</v>
      </c>
      <c r="I14" t="s" s="8">
        <v>105</v>
      </c>
      <c r="J14" t="s" s="8">
        <v>106</v>
      </c>
      <c r="K14" t="s" s="12">
        <v>28</v>
      </c>
      <c r="L14" s="13"/>
    </row>
    <row r="15" ht="60" customHeight="1">
      <c r="A15" t="s" s="8">
        <v>107</v>
      </c>
      <c r="B15" t="s" s="9">
        <v>65</v>
      </c>
      <c r="C15" t="s" s="8">
        <v>108</v>
      </c>
      <c r="D15" t="s" s="10">
        <v>21</v>
      </c>
      <c r="E15" t="s" s="10">
        <v>48</v>
      </c>
      <c r="F15" t="s" s="8">
        <v>49</v>
      </c>
      <c r="G15" t="s" s="8">
        <v>109</v>
      </c>
      <c r="H15" t="s" s="8">
        <v>110</v>
      </c>
      <c r="I15" t="s" s="8">
        <v>111</v>
      </c>
      <c r="J15" t="s" s="8">
        <v>112</v>
      </c>
      <c r="K15" t="s" s="12">
        <v>28</v>
      </c>
      <c r="L15" s="13"/>
    </row>
    <row r="16" ht="60" customHeight="1">
      <c r="A16" t="s" s="8">
        <v>113</v>
      </c>
      <c r="B16" t="s" s="9">
        <v>114</v>
      </c>
      <c r="C16" t="s" s="8">
        <v>115</v>
      </c>
      <c r="D16" t="s" s="10">
        <v>21</v>
      </c>
      <c r="E16" t="s" s="11">
        <v>22</v>
      </c>
      <c r="F16" t="s" s="8">
        <v>116</v>
      </c>
      <c r="G16" t="s" s="8">
        <v>117</v>
      </c>
      <c r="H16" t="s" s="8">
        <v>118</v>
      </c>
      <c r="I16" t="s" s="8">
        <v>119</v>
      </c>
      <c r="J16" t="s" s="8">
        <v>120</v>
      </c>
      <c r="K16" t="s" s="12">
        <v>28</v>
      </c>
      <c r="L16" s="13"/>
    </row>
    <row r="17" ht="60" customHeight="1">
      <c r="A17" t="s" s="8">
        <v>121</v>
      </c>
      <c r="B17" t="s" s="9">
        <v>114</v>
      </c>
      <c r="C17" t="s" s="8">
        <v>122</v>
      </c>
      <c r="D17" t="s" s="15">
        <v>47</v>
      </c>
      <c r="E17" t="s" s="14">
        <v>31</v>
      </c>
      <c r="F17" t="s" s="8">
        <v>123</v>
      </c>
      <c r="G17" t="s" s="8">
        <v>124</v>
      </c>
      <c r="H17" t="s" s="8">
        <v>125</v>
      </c>
      <c r="I17" t="s" s="8">
        <v>126</v>
      </c>
      <c r="J17" t="s" s="8">
        <v>127</v>
      </c>
      <c r="K17" t="s" s="12">
        <v>128</v>
      </c>
      <c r="L17" t="s" s="8">
        <v>129</v>
      </c>
    </row>
    <row r="18" ht="60" customHeight="1">
      <c r="A18" t="s" s="8">
        <v>130</v>
      </c>
      <c r="B18" t="s" s="9">
        <v>114</v>
      </c>
      <c r="C18" t="s" s="8">
        <v>131</v>
      </c>
      <c r="D18" t="s" s="11">
        <v>39</v>
      </c>
      <c r="E18" t="s" s="11">
        <v>22</v>
      </c>
      <c r="F18" t="s" s="8">
        <v>132</v>
      </c>
      <c r="G18" t="s" s="8">
        <v>133</v>
      </c>
      <c r="H18" t="s" s="8">
        <v>134</v>
      </c>
      <c r="I18" t="s" s="8">
        <v>135</v>
      </c>
      <c r="J18" t="s" s="8">
        <v>136</v>
      </c>
      <c r="K18" t="s" s="12">
        <v>28</v>
      </c>
      <c r="L18" s="13"/>
    </row>
    <row r="19" ht="60" customHeight="1">
      <c r="A19" t="s" s="8">
        <v>137</v>
      </c>
      <c r="B19" t="s" s="9">
        <v>114</v>
      </c>
      <c r="C19" t="s" s="8">
        <v>138</v>
      </c>
      <c r="D19" t="s" s="10">
        <v>21</v>
      </c>
      <c r="E19" t="s" s="14">
        <v>31</v>
      </c>
      <c r="F19" t="s" s="8">
        <v>139</v>
      </c>
      <c r="G19" t="s" s="8">
        <v>140</v>
      </c>
      <c r="H19" t="s" s="8">
        <v>141</v>
      </c>
      <c r="I19" t="s" s="8">
        <v>142</v>
      </c>
      <c r="J19" t="s" s="8">
        <v>143</v>
      </c>
      <c r="K19" t="s" s="12">
        <v>28</v>
      </c>
      <c r="L19" s="13"/>
    </row>
    <row r="20" ht="60" customHeight="1">
      <c r="A20" t="s" s="8">
        <v>144</v>
      </c>
      <c r="B20" t="s" s="9">
        <v>114</v>
      </c>
      <c r="C20" t="s" s="8">
        <v>145</v>
      </c>
      <c r="D20" t="s" s="10">
        <v>21</v>
      </c>
      <c r="E20" t="s" s="14">
        <v>31</v>
      </c>
      <c r="F20" t="s" s="8">
        <v>146</v>
      </c>
      <c r="G20" t="s" s="8">
        <v>147</v>
      </c>
      <c r="H20" t="s" s="8">
        <v>148</v>
      </c>
      <c r="I20" t="s" s="8">
        <v>149</v>
      </c>
      <c r="J20" t="s" s="8">
        <v>150</v>
      </c>
      <c r="K20" t="s" s="12">
        <v>28</v>
      </c>
      <c r="L20" s="13"/>
    </row>
    <row r="21" ht="60" customHeight="1">
      <c r="A21" t="s" s="8">
        <v>151</v>
      </c>
      <c r="B21" t="s" s="9">
        <v>114</v>
      </c>
      <c r="C21" t="s" s="8">
        <v>152</v>
      </c>
      <c r="D21" t="s" s="10">
        <v>21</v>
      </c>
      <c r="E21" t="s" s="10">
        <v>48</v>
      </c>
      <c r="F21" t="s" s="8">
        <v>153</v>
      </c>
      <c r="G21" t="s" s="8">
        <v>154</v>
      </c>
      <c r="H21" t="s" s="8">
        <v>155</v>
      </c>
      <c r="I21" t="s" s="8">
        <v>156</v>
      </c>
      <c r="J21" t="s" s="8">
        <v>157</v>
      </c>
      <c r="K21" t="s" s="12">
        <v>28</v>
      </c>
      <c r="L21" s="13"/>
    </row>
    <row r="22" ht="60" customHeight="1">
      <c r="A22" t="s" s="8">
        <v>158</v>
      </c>
      <c r="B22" t="s" s="9">
        <v>159</v>
      </c>
      <c r="C22" t="s" s="8">
        <v>160</v>
      </c>
      <c r="D22" t="s" s="10">
        <v>21</v>
      </c>
      <c r="E22" t="s" s="11">
        <v>22</v>
      </c>
      <c r="F22" t="s" s="8">
        <v>161</v>
      </c>
      <c r="G22" t="s" s="8">
        <v>162</v>
      </c>
      <c r="H22" t="s" s="8">
        <v>163</v>
      </c>
      <c r="I22" t="s" s="8">
        <v>164</v>
      </c>
      <c r="J22" t="s" s="8">
        <v>165</v>
      </c>
      <c r="K22" t="s" s="12">
        <v>28</v>
      </c>
      <c r="L22" s="13"/>
    </row>
    <row r="23" ht="60" customHeight="1">
      <c r="A23" t="s" s="8">
        <v>166</v>
      </c>
      <c r="B23" t="s" s="9">
        <v>159</v>
      </c>
      <c r="C23" t="s" s="8">
        <v>167</v>
      </c>
      <c r="D23" t="s" s="11">
        <v>39</v>
      </c>
      <c r="E23" t="s" s="11">
        <v>22</v>
      </c>
      <c r="F23" t="s" s="8">
        <v>168</v>
      </c>
      <c r="G23" t="s" s="8">
        <v>169</v>
      </c>
      <c r="H23" t="s" s="8">
        <v>170</v>
      </c>
      <c r="I23" t="s" s="8">
        <v>171</v>
      </c>
      <c r="J23" t="s" s="8">
        <v>172</v>
      </c>
      <c r="K23" t="s" s="12">
        <v>28</v>
      </c>
      <c r="L23" s="13"/>
    </row>
    <row r="24" ht="60" customHeight="1">
      <c r="A24" t="s" s="8">
        <v>173</v>
      </c>
      <c r="B24" t="s" s="9">
        <v>159</v>
      </c>
      <c r="C24" t="s" s="8">
        <v>174</v>
      </c>
      <c r="D24" t="s" s="11">
        <v>39</v>
      </c>
      <c r="E24" t="s" s="11">
        <v>22</v>
      </c>
      <c r="F24" t="s" s="8">
        <v>175</v>
      </c>
      <c r="G24" t="s" s="8">
        <v>176</v>
      </c>
      <c r="H24" t="s" s="8">
        <v>177</v>
      </c>
      <c r="I24" t="s" s="8">
        <v>178</v>
      </c>
      <c r="J24" t="s" s="8">
        <v>172</v>
      </c>
      <c r="K24" t="s" s="12">
        <v>28</v>
      </c>
      <c r="L24" s="13"/>
    </row>
    <row r="25" ht="68.65" customHeight="1">
      <c r="A25" t="s" s="8">
        <v>179</v>
      </c>
      <c r="B25" t="s" s="9">
        <v>159</v>
      </c>
      <c r="C25" t="s" s="8">
        <v>180</v>
      </c>
      <c r="D25" t="s" s="15">
        <v>47</v>
      </c>
      <c r="E25" t="s" s="10">
        <v>48</v>
      </c>
      <c r="F25" t="s" s="8">
        <v>181</v>
      </c>
      <c r="G25" t="s" s="8">
        <v>182</v>
      </c>
      <c r="H25" t="s" s="8">
        <v>183</v>
      </c>
      <c r="I25" t="s" s="8">
        <v>184</v>
      </c>
      <c r="J25" t="s" s="8">
        <v>185</v>
      </c>
      <c r="K25" t="s" s="12">
        <v>28</v>
      </c>
      <c r="L25" s="13"/>
    </row>
    <row r="26" ht="60" customHeight="1">
      <c r="A26" t="s" s="8">
        <v>186</v>
      </c>
      <c r="B26" t="s" s="9">
        <v>159</v>
      </c>
      <c r="C26" t="s" s="8">
        <v>187</v>
      </c>
      <c r="D26" t="s" s="16">
        <v>188</v>
      </c>
      <c r="E26" t="s" s="11">
        <v>22</v>
      </c>
      <c r="F26" t="s" s="8">
        <v>189</v>
      </c>
      <c r="G26" t="s" s="8">
        <v>190</v>
      </c>
      <c r="H26" t="s" s="8">
        <v>191</v>
      </c>
      <c r="I26" t="s" s="8">
        <v>192</v>
      </c>
      <c r="J26" t="s" s="8">
        <v>193</v>
      </c>
      <c r="K26" t="s" s="12">
        <v>28</v>
      </c>
      <c r="L26" s="13"/>
    </row>
    <row r="27" ht="60" customHeight="1">
      <c r="A27" t="s" s="8">
        <v>194</v>
      </c>
      <c r="B27" t="s" s="9">
        <v>159</v>
      </c>
      <c r="C27" t="s" s="8">
        <v>195</v>
      </c>
      <c r="D27" t="s" s="10">
        <v>21</v>
      </c>
      <c r="E27" t="s" s="10">
        <v>48</v>
      </c>
      <c r="F27" t="s" s="8">
        <v>181</v>
      </c>
      <c r="G27" t="s" s="8">
        <v>162</v>
      </c>
      <c r="H27" t="s" s="8">
        <v>110</v>
      </c>
      <c r="I27" t="s" s="8">
        <v>196</v>
      </c>
      <c r="J27" t="s" s="8">
        <v>197</v>
      </c>
      <c r="K27" t="s" s="12">
        <v>28</v>
      </c>
      <c r="L27" s="13"/>
    </row>
    <row r="28" ht="60" customHeight="1">
      <c r="A28" t="s" s="8">
        <v>198</v>
      </c>
      <c r="B28" t="s" s="9">
        <v>199</v>
      </c>
      <c r="C28" t="s" s="8">
        <v>200</v>
      </c>
      <c r="D28" t="s" s="11">
        <v>39</v>
      </c>
      <c r="E28" t="s" s="14">
        <v>31</v>
      </c>
      <c r="F28" t="s" s="8">
        <v>49</v>
      </c>
      <c r="G28" t="s" s="8">
        <v>201</v>
      </c>
      <c r="H28" t="s" s="8">
        <v>202</v>
      </c>
      <c r="I28" t="s" s="8">
        <v>203</v>
      </c>
      <c r="J28" t="s" s="8">
        <v>204</v>
      </c>
      <c r="K28" t="s" s="12">
        <v>28</v>
      </c>
      <c r="L28" s="13"/>
    </row>
    <row r="29" ht="60" customHeight="1">
      <c r="A29" t="s" s="8">
        <v>205</v>
      </c>
      <c r="B29" t="s" s="9">
        <v>199</v>
      </c>
      <c r="C29" t="s" s="8">
        <v>206</v>
      </c>
      <c r="D29" t="s" s="11">
        <v>39</v>
      </c>
      <c r="E29" t="s" s="14">
        <v>31</v>
      </c>
      <c r="F29" t="s" s="8">
        <v>207</v>
      </c>
      <c r="G29" t="s" s="8">
        <v>208</v>
      </c>
      <c r="H29" t="s" s="8">
        <v>209</v>
      </c>
      <c r="I29" t="s" s="8">
        <v>210</v>
      </c>
      <c r="J29" t="s" s="8">
        <v>211</v>
      </c>
      <c r="K29" t="s" s="12">
        <v>28</v>
      </c>
      <c r="L29" s="13"/>
    </row>
    <row r="30" ht="60" customHeight="1">
      <c r="A30" t="s" s="8">
        <v>212</v>
      </c>
      <c r="B30" t="s" s="9">
        <v>199</v>
      </c>
      <c r="C30" t="s" s="8">
        <v>213</v>
      </c>
      <c r="D30" t="s" s="17">
        <v>214</v>
      </c>
      <c r="E30" t="s" s="14">
        <v>31</v>
      </c>
      <c r="F30" t="s" s="8">
        <v>215</v>
      </c>
      <c r="G30" t="s" s="8">
        <v>162</v>
      </c>
      <c r="H30" t="s" s="8">
        <v>216</v>
      </c>
      <c r="I30" t="s" s="8">
        <v>217</v>
      </c>
      <c r="J30" t="s" s="8">
        <v>218</v>
      </c>
      <c r="K30" t="s" s="12">
        <v>28</v>
      </c>
      <c r="L30" s="13"/>
    </row>
    <row r="31" ht="60" customHeight="1">
      <c r="A31" t="s" s="8">
        <v>219</v>
      </c>
      <c r="B31" t="s" s="9">
        <v>199</v>
      </c>
      <c r="C31" t="s" s="8">
        <v>220</v>
      </c>
      <c r="D31" t="s" s="10">
        <v>21</v>
      </c>
      <c r="E31" t="s" s="10">
        <v>48</v>
      </c>
      <c r="F31" t="s" s="8">
        <v>221</v>
      </c>
      <c r="G31" t="s" s="8">
        <v>222</v>
      </c>
      <c r="H31" t="s" s="8">
        <v>223</v>
      </c>
      <c r="I31" t="s" s="8">
        <v>224</v>
      </c>
      <c r="J31" t="s" s="8">
        <v>225</v>
      </c>
      <c r="K31" t="s" s="12">
        <v>28</v>
      </c>
      <c r="L31" s="13"/>
    </row>
    <row r="32" ht="60" customHeight="1">
      <c r="A32" t="s" s="8">
        <v>226</v>
      </c>
      <c r="B32" t="s" s="9">
        <v>199</v>
      </c>
      <c r="C32" t="s" s="8">
        <v>227</v>
      </c>
      <c r="D32" t="s" s="11">
        <v>39</v>
      </c>
      <c r="E32" t="s" s="10">
        <v>48</v>
      </c>
      <c r="F32" t="s" s="8">
        <v>228</v>
      </c>
      <c r="G32" t="s" s="8">
        <v>24</v>
      </c>
      <c r="H32" t="s" s="8">
        <v>229</v>
      </c>
      <c r="I32" t="s" s="8">
        <v>230</v>
      </c>
      <c r="J32" t="s" s="8">
        <v>231</v>
      </c>
      <c r="K32" t="s" s="12">
        <v>28</v>
      </c>
      <c r="L32" s="13"/>
    </row>
  </sheetData>
  <conditionalFormatting sqref="K2:K32">
    <cfRule type="cellIs" dxfId="0" priority="1" operator="equal" stopIfTrue="1">
      <formula>"Pass"</formula>
    </cfRule>
    <cfRule type="cellIs" dxfId="1" priority="2" operator="equal" stopIfTrue="1">
      <formula>"Fail"</formula>
    </cfRule>
    <cfRule type="cellIs" dxfId="2" priority="3" operator="equal" stopIfTrue="1">
      <formula>"Blocked"</formula>
    </cfRule>
    <cfRule type="cellIs" dxfId="3" priority="4" operator="equal" stopIfTrue="1">
      <formula>"Not Executed"</formula>
    </cfRule>
  </conditionalFormatting>
  <dataValidations count="3">
    <dataValidation type="list" allowBlank="1" showInputMessage="1" showErrorMessage="1" sqref="D2:D32">
      <formula1>"Positive,Negative,Edge,Security,Performance"</formula1>
    </dataValidation>
    <dataValidation type="list" allowBlank="1" showInputMessage="1" showErrorMessage="1" sqref="E2:E32">
      <formula1>"High,Medium,Low"</formula1>
    </dataValidation>
    <dataValidation type="list" allowBlank="1" showInputMessage="1" showErrorMessage="1" sqref="K2:K32">
      <formula1>"Pass,Fail,Blocked,Not Executed"</formula1>
    </dataValidation>
  </dataValidations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xl/worksheets/sheet3.xml><?xml version="1.0" encoding="utf-8"?>
<worksheet xmlns:r="http://schemas.openxmlformats.org/officeDocument/2006/relationships" xmlns="http://schemas.openxmlformats.org/spreadsheetml/2006/main">
  <dimension ref="A1:E25"/>
  <sheetViews>
    <sheetView workbookViewId="0" showGridLines="0" defaultGridColor="1"/>
  </sheetViews>
  <sheetFormatPr defaultColWidth="8.66667" defaultRowHeight="15" customHeight="1" outlineLevelRow="0" outlineLevelCol="0"/>
  <cols>
    <col min="1" max="1" width="28" style="18" customWidth="1"/>
    <col min="2" max="2" width="55" style="18" customWidth="1"/>
    <col min="3" max="5" width="8.67188" style="18" customWidth="1"/>
    <col min="6" max="16384" width="8.67188" style="18" customWidth="1"/>
  </cols>
  <sheetData>
    <row r="1" ht="17.35" customHeight="1">
      <c r="A1" t="s" s="19">
        <v>233</v>
      </c>
      <c r="B1" s="20"/>
      <c r="C1" s="21"/>
      <c r="D1" s="21"/>
      <c r="E1" s="21"/>
    </row>
    <row r="2" ht="13.55" customHeight="1">
      <c r="A2" s="22"/>
      <c r="B2" s="22"/>
      <c r="C2" s="21"/>
      <c r="D2" s="21"/>
      <c r="E2" s="21"/>
    </row>
    <row r="3" ht="27.75" customHeight="1">
      <c r="A3" t="s" s="23">
        <v>234</v>
      </c>
      <c r="B3" t="s" s="24">
        <v>235</v>
      </c>
      <c r="C3" s="25"/>
      <c r="D3" s="21"/>
      <c r="E3" s="21"/>
    </row>
    <row r="4" ht="27.75" customHeight="1">
      <c r="A4" t="s" s="23">
        <v>236</v>
      </c>
      <c r="B4" t="s" s="24">
        <v>237</v>
      </c>
      <c r="C4" s="25"/>
      <c r="D4" s="21"/>
      <c r="E4" s="21"/>
    </row>
    <row r="5" ht="27.75" customHeight="1">
      <c r="A5" t="s" s="23">
        <v>238</v>
      </c>
      <c r="B5" t="s" s="24">
        <v>239</v>
      </c>
      <c r="C5" s="25"/>
      <c r="D5" s="21"/>
      <c r="E5" s="21"/>
    </row>
    <row r="6" ht="27.75" customHeight="1">
      <c r="A6" t="s" s="23">
        <v>240</v>
      </c>
      <c r="B6" t="s" s="24">
        <v>241</v>
      </c>
      <c r="C6" s="25"/>
      <c r="D6" s="21"/>
      <c r="E6" s="21"/>
    </row>
    <row r="7" ht="27.75" customHeight="1">
      <c r="A7" t="s" s="23">
        <v>242</v>
      </c>
      <c r="B7" t="s" s="24">
        <v>243</v>
      </c>
      <c r="C7" s="25"/>
      <c r="D7" s="21"/>
      <c r="E7" s="21"/>
    </row>
    <row r="8" ht="27.75" customHeight="1">
      <c r="A8" t="s" s="23">
        <v>244</v>
      </c>
      <c r="B8" t="s" s="24">
        <v>245</v>
      </c>
      <c r="C8" s="25"/>
      <c r="D8" s="21"/>
      <c r="E8" s="21"/>
    </row>
    <row r="9" ht="27.75" customHeight="1">
      <c r="A9" t="s" s="23">
        <v>246</v>
      </c>
      <c r="B9" t="s" s="24">
        <v>247</v>
      </c>
      <c r="C9" s="25"/>
      <c r="D9" s="21"/>
      <c r="E9" s="21"/>
    </row>
    <row r="10" ht="27.75" customHeight="1">
      <c r="A10" t="s" s="23">
        <v>248</v>
      </c>
      <c r="B10" t="s" s="24">
        <v>249</v>
      </c>
      <c r="C10" s="25"/>
      <c r="D10" s="21"/>
      <c r="E10" s="21"/>
    </row>
    <row r="11" ht="27.75" customHeight="1">
      <c r="A11" t="s" s="23">
        <v>250</v>
      </c>
      <c r="B11" t="s" s="24">
        <v>251</v>
      </c>
      <c r="C11" s="25"/>
      <c r="D11" s="21"/>
      <c r="E11" s="21"/>
    </row>
    <row r="12" ht="15" customHeight="1">
      <c r="A12" s="26"/>
      <c r="B12" s="26"/>
      <c r="C12" s="25"/>
      <c r="D12" s="21"/>
      <c r="E12" s="21"/>
    </row>
    <row r="13" ht="15" customHeight="1">
      <c r="A13" t="s" s="27">
        <v>252</v>
      </c>
      <c r="B13" s="26"/>
      <c r="C13" s="25"/>
      <c r="D13" s="21"/>
      <c r="E13" s="21"/>
    </row>
    <row r="14" ht="15" customHeight="1">
      <c r="A14" t="s" s="23">
        <v>253</v>
      </c>
      <c r="B14" s="28">
        <f>COUNTA('Test Cases'!A2:A32)</f>
        <v>31</v>
      </c>
      <c r="C14" s="25"/>
      <c r="D14" s="21"/>
      <c r="E14" s="21"/>
    </row>
    <row r="15" ht="15" customHeight="1">
      <c r="A15" t="s" s="23">
        <v>254</v>
      </c>
      <c r="B15" s="28">
        <f>COUNTIF('Test Cases'!K2:K32,"Pass")</f>
        <v>30</v>
      </c>
      <c r="C15" s="25"/>
      <c r="D15" s="21"/>
      <c r="E15" s="21"/>
    </row>
    <row r="16" ht="15" customHeight="1">
      <c r="A16" t="s" s="23">
        <v>255</v>
      </c>
      <c r="B16" s="28">
        <f>COUNTIF('Test Cases'!K2:K32,"Fail")</f>
        <v>0</v>
      </c>
      <c r="C16" s="25"/>
      <c r="D16" s="21"/>
      <c r="E16" s="21"/>
    </row>
    <row r="17" ht="15" customHeight="1">
      <c r="A17" t="s" s="23">
        <v>128</v>
      </c>
      <c r="B17" s="28">
        <f>COUNTIF('Test Cases'!K2:K32,"Blocked")</f>
        <v>1</v>
      </c>
      <c r="C17" s="25"/>
      <c r="D17" s="21"/>
      <c r="E17" s="21"/>
    </row>
    <row r="18" ht="15" customHeight="1">
      <c r="A18" t="s" s="23">
        <v>256</v>
      </c>
      <c r="B18" s="28">
        <f>COUNTA('Test Cases'!A2:A32)-COUNTIF('Test Cases'!K2:K32,"Pass")-COUNTIF('Test Cases'!K2:K32,"Fail")-COUNTIF('Test Cases'!K2:K32,"Blocked")</f>
        <v>0</v>
      </c>
      <c r="C18" s="25"/>
      <c r="D18" s="21"/>
      <c r="E18" s="21"/>
    </row>
    <row r="19" ht="15" customHeight="1">
      <c r="A19" s="26"/>
      <c r="B19" s="26"/>
      <c r="C19" s="25"/>
      <c r="D19" s="21"/>
      <c r="E19" s="21"/>
    </row>
    <row r="20" ht="15" customHeight="1">
      <c r="A20" t="s" s="27">
        <v>257</v>
      </c>
      <c r="B20" s="26"/>
      <c r="C20" s="25"/>
      <c r="D20" s="21"/>
      <c r="E20" s="21"/>
    </row>
    <row r="21" ht="15" customHeight="1">
      <c r="A21" t="s" s="29">
        <v>19</v>
      </c>
      <c r="B21" s="28">
        <f>COUNTIF('Test Cases'!B2:B32,"1. User Profile")</f>
        <v>6</v>
      </c>
      <c r="C21" s="25"/>
      <c r="D21" s="21"/>
      <c r="E21" s="21"/>
    </row>
    <row r="22" ht="15" customHeight="1">
      <c r="A22" t="s" s="29">
        <v>65</v>
      </c>
      <c r="B22" s="28">
        <f>COUNTIF('Test Cases'!B2:B32,"2. Repository Search")</f>
        <v>8</v>
      </c>
      <c r="C22" s="25"/>
      <c r="D22" s="21"/>
      <c r="E22" s="21"/>
    </row>
    <row r="23" ht="15" customHeight="1">
      <c r="A23" t="s" s="29">
        <v>114</v>
      </c>
      <c r="B23" s="28">
        <f>COUNTIF('Test Cases'!B2:B32,"3. User Repositories")</f>
        <v>6</v>
      </c>
      <c r="C23" s="25"/>
      <c r="D23" s="21"/>
      <c r="E23" s="21"/>
    </row>
    <row r="24" ht="15" customHeight="1">
      <c r="A24" t="s" s="29">
        <v>159</v>
      </c>
      <c r="B24" s="28">
        <f>COUNTIF('Test Cases'!B2:B32,"4. Repository Details")</f>
        <v>6</v>
      </c>
      <c r="C24" s="25"/>
      <c r="D24" s="21"/>
      <c r="E24" s="21"/>
    </row>
    <row r="25" ht="15" customHeight="1">
      <c r="A25" t="s" s="29">
        <v>199</v>
      </c>
      <c r="B25" s="28">
        <f>COUNTIF('Test Cases'!B2:B32,"5. Cross-Cutting / Non-Functional")</f>
        <v>5</v>
      </c>
      <c r="C25" s="25"/>
      <c r="D25" s="21"/>
      <c r="E25" s="21"/>
    </row>
  </sheetData>
  <mergeCells count="1">
    <mergeCell ref="A1:B1"/>
  </mergeCells>
  <pageMargins left="0.7" right="0.7" top="0.75" bottom="0.75" header="0.3" footer="0.3"/>
  <pageSetup firstPageNumber="1" fitToHeight="1" fitToWidth="1" scale="100" useFirstPageNumber="0" orientation="portrait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